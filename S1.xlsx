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UNI-1\Internship summer 2026\"/>
    </mc:Choice>
  </mc:AlternateContent>
  <xr:revisionPtr revIDLastSave="0" documentId="13_ncr:10000001_{E880CFD5-AA69-4FF9-A028-FAE6EC72C1DF}" xr6:coauthVersionLast="47" xr6:coauthVersionMax="47" xr10:uidLastSave="{00000000-0000-0000-0000-000000000000}"/>
  <bookViews>
    <workbookView xWindow="-110" yWindow="-110" windowWidth="19420" windowHeight="10300" xr2:uid="{630BB760-8F80-49FE-90FA-02238A498DBC}"/>
  </bookViews>
  <sheets>
    <sheet name="Task1" sheetId="13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3" l="1"/>
  <c r="B30" i="13"/>
  <c r="B29" i="13"/>
  <c r="B28" i="13"/>
  <c r="D26" i="13"/>
  <c r="C26" i="13"/>
  <c r="D25" i="13"/>
  <c r="C25" i="13"/>
  <c r="D24" i="13"/>
  <c r="C24" i="13"/>
  <c r="D23" i="13"/>
  <c r="C23" i="13"/>
  <c r="D22" i="13"/>
  <c r="C22" i="13"/>
  <c r="D21" i="13"/>
  <c r="C21" i="13"/>
  <c r="D20" i="13"/>
  <c r="C20" i="13"/>
  <c r="D19" i="13"/>
  <c r="C19" i="13"/>
  <c r="D18" i="13"/>
  <c r="C18" i="13"/>
  <c r="D17" i="13"/>
  <c r="C17" i="13"/>
  <c r="D16" i="13"/>
  <c r="C16" i="13"/>
  <c r="D15" i="13"/>
  <c r="C15" i="13"/>
  <c r="D14" i="13"/>
  <c r="C14" i="13"/>
  <c r="D13" i="13"/>
  <c r="C13" i="13"/>
  <c r="D12" i="13"/>
  <c r="C12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3" i="13"/>
  <c r="C3" i="13"/>
  <c r="D2" i="13"/>
  <c r="C2" i="13"/>
</calcChain>
</file>

<file path=xl/sharedStrings.xml><?xml version="1.0" encoding="utf-8"?>
<sst xmlns="http://schemas.openxmlformats.org/spreadsheetml/2006/main" count="8" uniqueCount="8">
  <si>
    <t>Profit</t>
  </si>
  <si>
    <t>Expenditure</t>
  </si>
  <si>
    <t>Net profit</t>
  </si>
  <si>
    <t>Efficiency Ratio</t>
  </si>
  <si>
    <t>Average Profit</t>
  </si>
  <si>
    <t>Average Expenditure</t>
  </si>
  <si>
    <t>Max Profit</t>
  </si>
  <si>
    <t>Min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</si>
</sst>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1" xfId="0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3" fillId="2" borderId="0" xfId="0" applyFont="1" applyFill="1"/>
  </cellXfs>
  <cellStyles count="2">
    <cellStyle name="Įprastas 2" xfId="1" xr:uid="{FB866185-A03F-411B-8B38-2DC974567AB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Relationship Between Profit and Expenditure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 vs Expenditure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349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06209619377513"/>
                  <c:y val="7.32852697347471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28575" cap="rnd">
                <a:solidFill>
                  <a:schemeClr val="accent6">
                    <a:lumMod val="75000"/>
                  </a:schemeClr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916376219483102"/>
                  <c:y val="0.12243682487834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Task1!$B$2:$B$26</c:f>
              <c:numCache>
                <c:formatCode>General</c:formatCode>
                <c:ptCount val="25"/>
                <c:pt idx="0">
                  <c:v>16.260000000000002</c:v>
                </c:pt>
                <c:pt idx="1">
                  <c:v>15.06</c:v>
                </c:pt>
                <c:pt idx="2">
                  <c:v>13.76</c:v>
                </c:pt>
                <c:pt idx="3">
                  <c:v>11.82</c:v>
                </c:pt>
                <c:pt idx="4">
                  <c:v>13.72</c:v>
                </c:pt>
                <c:pt idx="5">
                  <c:v>11.85</c:v>
                </c:pt>
                <c:pt idx="6">
                  <c:v>17.34</c:v>
                </c:pt>
                <c:pt idx="7">
                  <c:v>11.65</c:v>
                </c:pt>
                <c:pt idx="8">
                  <c:v>19.760000000000002</c:v>
                </c:pt>
                <c:pt idx="9">
                  <c:v>16.23</c:v>
                </c:pt>
                <c:pt idx="10">
                  <c:v>9.6300000000000008</c:v>
                </c:pt>
                <c:pt idx="11">
                  <c:v>9.69</c:v>
                </c:pt>
                <c:pt idx="12">
                  <c:v>13.61</c:v>
                </c:pt>
                <c:pt idx="13">
                  <c:v>13.09</c:v>
                </c:pt>
                <c:pt idx="14">
                  <c:v>16.52</c:v>
                </c:pt>
                <c:pt idx="15">
                  <c:v>17.809999999999999</c:v>
                </c:pt>
                <c:pt idx="16">
                  <c:v>13.84</c:v>
                </c:pt>
                <c:pt idx="17">
                  <c:v>16.39</c:v>
                </c:pt>
                <c:pt idx="18">
                  <c:v>16.690000000000001</c:v>
                </c:pt>
                <c:pt idx="19">
                  <c:v>11.83</c:v>
                </c:pt>
                <c:pt idx="20">
                  <c:v>11.23</c:v>
                </c:pt>
                <c:pt idx="21">
                  <c:v>11.98</c:v>
                </c:pt>
                <c:pt idx="22">
                  <c:v>19.13</c:v>
                </c:pt>
                <c:pt idx="23">
                  <c:v>15.63</c:v>
                </c:pt>
                <c:pt idx="24">
                  <c:v>15.95</c:v>
                </c:pt>
              </c:numCache>
            </c:numRef>
          </c:xVal>
          <c:yVal>
            <c:numRef>
              <c:f>Task1!$A$2:$A$26</c:f>
              <c:numCache>
                <c:formatCode>General</c:formatCode>
                <c:ptCount val="25"/>
                <c:pt idx="0">
                  <c:v>199.67</c:v>
                </c:pt>
                <c:pt idx="1">
                  <c:v>197.4</c:v>
                </c:pt>
                <c:pt idx="2">
                  <c:v>188.24</c:v>
                </c:pt>
                <c:pt idx="3">
                  <c:v>124.27</c:v>
                </c:pt>
                <c:pt idx="4">
                  <c:v>189.59</c:v>
                </c:pt>
                <c:pt idx="5">
                  <c:v>192.54</c:v>
                </c:pt>
                <c:pt idx="6">
                  <c:v>241.99</c:v>
                </c:pt>
                <c:pt idx="7">
                  <c:v>142.19999999999999</c:v>
                </c:pt>
                <c:pt idx="8">
                  <c:v>260.20999999999998</c:v>
                </c:pt>
                <c:pt idx="9">
                  <c:v>261.83</c:v>
                </c:pt>
                <c:pt idx="10">
                  <c:v>140.93</c:v>
                </c:pt>
                <c:pt idx="11">
                  <c:v>151.74</c:v>
                </c:pt>
                <c:pt idx="12">
                  <c:v>210.45</c:v>
                </c:pt>
                <c:pt idx="13">
                  <c:v>134.11000000000001</c:v>
                </c:pt>
                <c:pt idx="14">
                  <c:v>226.95</c:v>
                </c:pt>
                <c:pt idx="15">
                  <c:v>206.06</c:v>
                </c:pt>
                <c:pt idx="16">
                  <c:v>190.76</c:v>
                </c:pt>
                <c:pt idx="17">
                  <c:v>186.59</c:v>
                </c:pt>
                <c:pt idx="18">
                  <c:v>214.23</c:v>
                </c:pt>
                <c:pt idx="19">
                  <c:v>139.66</c:v>
                </c:pt>
                <c:pt idx="20">
                  <c:v>132.27000000000001</c:v>
                </c:pt>
                <c:pt idx="21">
                  <c:v>165.41</c:v>
                </c:pt>
                <c:pt idx="22">
                  <c:v>212.81</c:v>
                </c:pt>
                <c:pt idx="23">
                  <c:v>203.31</c:v>
                </c:pt>
                <c:pt idx="24">
                  <c:v>242.64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D-437B-A34B-919DCD53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378792"/>
        <c:axId val="562376632"/>
      </c:scatterChart>
      <c:valAx>
        <c:axId val="562378792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/>
                  <a:t>Expenditure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376632"/>
        <c:crosses val="autoZero"/>
        <c:crossBetween val="midCat"/>
      </c:valAx>
      <c:valAx>
        <c:axId val="562376632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/>
                  <a:t>Profit (€)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37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530677</xdr:colOff>
      <xdr:row>0</xdr:row>
      <xdr:rowOff>166007</xdr:rowOff>
    </xdr:from>
    <xdr:to>
      <xdr:col>16</xdr:col>
      <xdr:colOff>362858</xdr:colOff>
      <xdr:row>26</xdr:row>
      <xdr:rowOff>99785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66C55A-6FFC-9315-C2F6-DCD54D03E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A1F6-6150-4C61-8517-C493CED52FCF}">
  <dimension ref="A1:D31"/>
  <sheetViews>
    <sheetView tabSelected="1" zoomScale="70" zoomScaleNormal="70" workbookViewId="0">
      <selection activeCell="S22" sqref="S22"/>
    </sheetView>
  </sheetViews>
  <sheetFormatPr defaultRowHeight="14.5" x14ac:dyDescent="0.35"/>
  <cols>
    <col min="1" max="1" width="11.54296875" customWidth="1"/>
    <col min="2" max="2" width="13.81640625" customWidth="1"/>
    <col min="3" max="3" width="9.81640625" customWidth="1"/>
    <col min="4" max="4" width="13.1796875" customWidth="1"/>
  </cols>
  <sheetData>
    <row r="1" spans="1:4" x14ac:dyDescent="0.35">
      <c r="A1" s="1" t="s">
        <v>0</v>
      </c>
      <c r="B1" s="1" t="s">
        <v>1</v>
      </c>
      <c r="C1" s="6" t="s">
        <v>2</v>
      </c>
      <c r="D1" s="6" t="s">
        <v>3</v>
      </c>
    </row>
    <row r="2" spans="1:4" x14ac:dyDescent="0.35">
      <c r="A2">
        <v>199.67</v>
      </c>
      <c r="B2">
        <v>16.260000000000002</v>
      </c>
      <c r="C2">
        <f>A2-B2</f>
        <v>183.41</v>
      </c>
      <c r="D2" s="2">
        <f>A2/B2</f>
        <v>12.279827798277982</v>
      </c>
    </row>
    <row r="3" spans="1:4" x14ac:dyDescent="0.35">
      <c r="A3">
        <v>197.4</v>
      </c>
      <c r="B3">
        <v>15.06</v>
      </c>
      <c r="C3">
        <f t="shared" ref="C3:C26" si="0">A3-B3</f>
        <v>182.34</v>
      </c>
      <c r="D3" s="2">
        <f t="shared" ref="D3:D26" si="1">A3/B3</f>
        <v>13.107569721115539</v>
      </c>
    </row>
    <row r="4" spans="1:4" x14ac:dyDescent="0.35">
      <c r="A4">
        <v>188.24</v>
      </c>
      <c r="B4">
        <v>13.76</v>
      </c>
      <c r="C4">
        <f t="shared" si="0"/>
        <v>174.48000000000002</v>
      </c>
      <c r="D4" s="2">
        <f t="shared" si="1"/>
        <v>13.680232558139537</v>
      </c>
    </row>
    <row r="5" spans="1:4" x14ac:dyDescent="0.35">
      <c r="A5">
        <v>124.27</v>
      </c>
      <c r="B5">
        <v>11.82</v>
      </c>
      <c r="C5">
        <f t="shared" si="0"/>
        <v>112.44999999999999</v>
      </c>
      <c r="D5" s="2">
        <f t="shared" si="1"/>
        <v>10.513536379018612</v>
      </c>
    </row>
    <row r="6" spans="1:4" x14ac:dyDescent="0.35">
      <c r="A6">
        <v>189.59</v>
      </c>
      <c r="B6">
        <v>13.72</v>
      </c>
      <c r="C6">
        <f t="shared" si="0"/>
        <v>175.87</v>
      </c>
      <c r="D6" s="2">
        <f t="shared" si="1"/>
        <v>13.818513119533527</v>
      </c>
    </row>
    <row r="7" spans="1:4" x14ac:dyDescent="0.35">
      <c r="A7">
        <v>192.54</v>
      </c>
      <c r="B7">
        <v>11.85</v>
      </c>
      <c r="C7">
        <f t="shared" si="0"/>
        <v>180.69</v>
      </c>
      <c r="D7" s="2">
        <f t="shared" si="1"/>
        <v>16.248101265822786</v>
      </c>
    </row>
    <row r="8" spans="1:4" x14ac:dyDescent="0.35">
      <c r="A8">
        <v>241.99</v>
      </c>
      <c r="B8">
        <v>17.34</v>
      </c>
      <c r="C8">
        <f t="shared" si="0"/>
        <v>224.65</v>
      </c>
      <c r="D8" s="2">
        <f t="shared" si="1"/>
        <v>13.955594002306805</v>
      </c>
    </row>
    <row r="9" spans="1:4" x14ac:dyDescent="0.35">
      <c r="A9">
        <v>142.19999999999999</v>
      </c>
      <c r="B9">
        <v>11.65</v>
      </c>
      <c r="C9">
        <f t="shared" si="0"/>
        <v>130.54999999999998</v>
      </c>
      <c r="D9" s="2">
        <f t="shared" si="1"/>
        <v>12.206008583690986</v>
      </c>
    </row>
    <row r="10" spans="1:4" x14ac:dyDescent="0.35">
      <c r="A10">
        <v>260.20999999999998</v>
      </c>
      <c r="B10">
        <v>19.760000000000002</v>
      </c>
      <c r="C10">
        <f t="shared" si="0"/>
        <v>240.45</v>
      </c>
      <c r="D10" s="2">
        <f t="shared" si="1"/>
        <v>13.168522267206475</v>
      </c>
    </row>
    <row r="11" spans="1:4" x14ac:dyDescent="0.35">
      <c r="A11">
        <v>261.83</v>
      </c>
      <c r="B11">
        <v>16.23</v>
      </c>
      <c r="C11">
        <f t="shared" si="0"/>
        <v>245.6</v>
      </c>
      <c r="D11" s="2">
        <f t="shared" si="1"/>
        <v>16.132470733210102</v>
      </c>
    </row>
    <row r="12" spans="1:4" x14ac:dyDescent="0.35">
      <c r="A12">
        <v>140.93</v>
      </c>
      <c r="B12">
        <v>9.6300000000000008</v>
      </c>
      <c r="C12">
        <f t="shared" si="0"/>
        <v>131.30000000000001</v>
      </c>
      <c r="D12" s="2">
        <f t="shared" si="1"/>
        <v>14.634475597092418</v>
      </c>
    </row>
    <row r="13" spans="1:4" x14ac:dyDescent="0.35">
      <c r="A13">
        <v>151.74</v>
      </c>
      <c r="B13">
        <v>9.69</v>
      </c>
      <c r="C13">
        <f t="shared" si="0"/>
        <v>142.05000000000001</v>
      </c>
      <c r="D13" s="2">
        <f t="shared" si="1"/>
        <v>15.659442724458206</v>
      </c>
    </row>
    <row r="14" spans="1:4" x14ac:dyDescent="0.35">
      <c r="A14">
        <v>210.45</v>
      </c>
      <c r="B14">
        <v>13.61</v>
      </c>
      <c r="C14">
        <f t="shared" si="0"/>
        <v>196.83999999999997</v>
      </c>
      <c r="D14" s="2">
        <f t="shared" si="1"/>
        <v>15.462894930198383</v>
      </c>
    </row>
    <row r="15" spans="1:4" x14ac:dyDescent="0.35">
      <c r="A15">
        <v>134.11000000000001</v>
      </c>
      <c r="B15">
        <v>13.09</v>
      </c>
      <c r="C15">
        <f t="shared" si="0"/>
        <v>121.02000000000001</v>
      </c>
      <c r="D15" s="2">
        <f t="shared" si="1"/>
        <v>10.245225362872423</v>
      </c>
    </row>
    <row r="16" spans="1:4" x14ac:dyDescent="0.35">
      <c r="A16">
        <v>226.95</v>
      </c>
      <c r="B16">
        <v>16.52</v>
      </c>
      <c r="C16">
        <f t="shared" si="0"/>
        <v>210.42999999999998</v>
      </c>
      <c r="D16" s="2">
        <f t="shared" si="1"/>
        <v>13.737893462469733</v>
      </c>
    </row>
    <row r="17" spans="1:4" x14ac:dyDescent="0.35">
      <c r="A17">
        <v>206.06</v>
      </c>
      <c r="B17">
        <v>17.809999999999999</v>
      </c>
      <c r="C17">
        <f t="shared" si="0"/>
        <v>188.25</v>
      </c>
      <c r="D17" s="2">
        <f t="shared" si="1"/>
        <v>11.569904548006738</v>
      </c>
    </row>
    <row r="18" spans="1:4" x14ac:dyDescent="0.35">
      <c r="A18">
        <v>190.76</v>
      </c>
      <c r="B18">
        <v>13.84</v>
      </c>
      <c r="C18">
        <f t="shared" si="0"/>
        <v>176.92</v>
      </c>
      <c r="D18" s="2">
        <f t="shared" si="1"/>
        <v>13.783236994219653</v>
      </c>
    </row>
    <row r="19" spans="1:4" x14ac:dyDescent="0.35">
      <c r="A19">
        <v>186.59</v>
      </c>
      <c r="B19">
        <v>16.39</v>
      </c>
      <c r="C19">
        <f t="shared" si="0"/>
        <v>170.2</v>
      </c>
      <c r="D19" s="2">
        <f t="shared" si="1"/>
        <v>11.38438071995119</v>
      </c>
    </row>
    <row r="20" spans="1:4" x14ac:dyDescent="0.35">
      <c r="A20">
        <v>214.23</v>
      </c>
      <c r="B20">
        <v>16.690000000000001</v>
      </c>
      <c r="C20">
        <f t="shared" si="0"/>
        <v>197.54</v>
      </c>
      <c r="D20" s="2">
        <f t="shared" si="1"/>
        <v>12.835829838226481</v>
      </c>
    </row>
    <row r="21" spans="1:4" x14ac:dyDescent="0.35">
      <c r="A21">
        <v>139.66</v>
      </c>
      <c r="B21">
        <v>11.83</v>
      </c>
      <c r="C21">
        <f t="shared" si="0"/>
        <v>127.83</v>
      </c>
      <c r="D21" s="2">
        <f t="shared" si="1"/>
        <v>11.805579036348266</v>
      </c>
    </row>
    <row r="22" spans="1:4" x14ac:dyDescent="0.35">
      <c r="A22">
        <v>132.27000000000001</v>
      </c>
      <c r="B22">
        <v>11.23</v>
      </c>
      <c r="C22">
        <f t="shared" si="0"/>
        <v>121.04</v>
      </c>
      <c r="D22" s="2">
        <f t="shared" si="1"/>
        <v>11.778272484416741</v>
      </c>
    </row>
    <row r="23" spans="1:4" x14ac:dyDescent="0.35">
      <c r="A23">
        <v>165.41</v>
      </c>
      <c r="B23">
        <v>11.98</v>
      </c>
      <c r="C23">
        <f t="shared" si="0"/>
        <v>153.43</v>
      </c>
      <c r="D23" s="2">
        <f t="shared" si="1"/>
        <v>13.807178631051752</v>
      </c>
    </row>
    <row r="24" spans="1:4" x14ac:dyDescent="0.35">
      <c r="A24">
        <v>212.81</v>
      </c>
      <c r="B24">
        <v>19.13</v>
      </c>
      <c r="C24">
        <f t="shared" si="0"/>
        <v>193.68</v>
      </c>
      <c r="D24" s="2">
        <f t="shared" si="1"/>
        <v>11.124411918452692</v>
      </c>
    </row>
    <row r="25" spans="1:4" x14ac:dyDescent="0.35">
      <c r="A25">
        <v>203.31</v>
      </c>
      <c r="B25">
        <v>15.63</v>
      </c>
      <c r="C25">
        <f t="shared" si="0"/>
        <v>187.68</v>
      </c>
      <c r="D25" s="2">
        <f t="shared" si="1"/>
        <v>13.00767754318618</v>
      </c>
    </row>
    <row r="26" spans="1:4" x14ac:dyDescent="0.35">
      <c r="A26">
        <v>242.64</v>
      </c>
      <c r="B26">
        <v>15.95</v>
      </c>
      <c r="C26">
        <f t="shared" si="0"/>
        <v>226.69</v>
      </c>
      <c r="D26" s="2">
        <f t="shared" si="1"/>
        <v>15.212539184952979</v>
      </c>
    </row>
    <row r="28" spans="1:4" ht="31" customHeight="1" x14ac:dyDescent="0.35">
      <c r="A28" s="4" t="s">
        <v>4</v>
      </c>
      <c r="B28" s="3">
        <f>AVERAGE(A2:A26)</f>
        <v>190.23440000000002</v>
      </c>
    </row>
    <row r="29" spans="1:4" ht="31" customHeight="1" x14ac:dyDescent="0.35">
      <c r="A29" s="4" t="s">
        <v>5</v>
      </c>
      <c r="B29" s="3">
        <f>AVERAGE(B2:B26)</f>
        <v>14.418800000000001</v>
      </c>
    </row>
    <row r="30" spans="1:4" x14ac:dyDescent="0.35">
      <c r="A30" s="5" t="s">
        <v>6</v>
      </c>
      <c r="B30" s="3">
        <f>MAX(A2:A26)</f>
        <v>261.83</v>
      </c>
    </row>
    <row r="31" spans="1:4" x14ac:dyDescent="0.35">
      <c r="A31" s="5" t="s">
        <v>7</v>
      </c>
      <c r="B31" s="3">
        <f>MIN(A2:A26)</f>
        <v>124.27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Linas</dc:creator>
  <cp:lastModifiedBy>Maryna Dinaburska</cp:lastModifiedBy>
  <dcterms:created xsi:type="dcterms:W3CDTF">2020-10-28T18:11:39Z</dcterms:created>
  <dcterms:modified xsi:type="dcterms:W3CDTF">2026-03-29T16:04:39Z</dcterms:modified>
</cp:coreProperties>
</file>